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Hardware_Checklist" sheetId="2" r:id="rId6"/>
    <sheet state="visible" name="Test_Summary_Report" sheetId="3" r:id="rId7"/>
  </sheets>
  <definedNames/>
  <calcPr/>
</workbook>
</file>

<file path=xl/sharedStrings.xml><?xml version="1.0" encoding="utf-8"?>
<sst xmlns="http://schemas.openxmlformats.org/spreadsheetml/2006/main" count="325" uniqueCount="263">
  <si>
    <t>Checklist ID</t>
  </si>
  <si>
    <t>Test ID</t>
  </si>
  <si>
    <t>BÁO CÁO TÓM TẮT THỰC THI TEST SẢN PHẨM VẬT LÝ</t>
  </si>
  <si>
    <t>Nhóm / lĩnh vực</t>
  </si>
  <si>
    <t>Mục tiêu test</t>
  </si>
  <si>
    <t>Input</t>
  </si>
  <si>
    <t>Điều kiện tiên quyết</t>
  </si>
  <si>
    <t>Các bước thực hiện</t>
  </si>
  <si>
    <t>Kết quả mong đợi</t>
  </si>
  <si>
    <t>Kết quả thực tế</t>
  </si>
  <si>
    <t>Verdict</t>
  </si>
  <si>
    <t>Loại edge case</t>
  </si>
  <si>
    <t>Trạng thái AI coverage</t>
  </si>
  <si>
    <t>Link video demo</t>
  </si>
  <si>
    <t>Ghi chú</t>
  </si>
  <si>
    <t>Môn học</t>
  </si>
  <si>
    <t>TC-01</t>
  </si>
  <si>
    <t>CSC13003 — Kiểm thử phần mềm (AI-augmented, 2026)</t>
  </si>
  <si>
    <t>Chức năng / Điều khiển</t>
  </si>
  <si>
    <t>Bộ phận</t>
  </si>
  <si>
    <t>Xác minh quạt khởi động ở Speed 1 từ trạng thái OFF.</t>
  </si>
  <si>
    <t>Nhấn Speed 1 từ OFF.</t>
  </si>
  <si>
    <t>Hạng mục kiểm tra</t>
  </si>
  <si>
    <t>Quạt đặt trên mặt phẳng; guard và dây nguồn còn nguyên; dùng đúng nguồn định mức.</t>
  </si>
  <si>
    <t>Phương pháp</t>
  </si>
  <si>
    <t>1. Xác nhận quạt đang OFF.
2. Nhấn Speed 1.
3. Quan sát quá trình khởi động và airflow trong 10 giây.</t>
  </si>
  <si>
    <t>Kết quả chấp nhận</t>
  </si>
  <si>
    <t>Chỉ một speed state được gài. Cánh tăng tốc bình thường, tạo airflow thấp; không cọ, rattling, mùi khét hoặc tia lửa thấy được.</t>
  </si>
  <si>
    <t>Quạt khởi động ở mức 1; tốc độ ổn định; không ghi nhận cọ, rung, mùi khét hay tia lửa.</t>
  </si>
  <si>
    <t>Status</t>
  </si>
  <si>
    <t>Họ tên sinh viên</t>
  </si>
  <si>
    <t>Tống Dương Thái Hòa</t>
  </si>
  <si>
    <t>MSSV</t>
  </si>
  <si>
    <t>23120262</t>
  </si>
  <si>
    <t>PASS</t>
  </si>
  <si>
    <t>CHK-01</t>
  </si>
  <si>
    <t>Dây nguồn và phích</t>
  </si>
  <si>
    <t>Không có vết cắt, lõi dẫn điện lộ, cháy xém, chân phích lỏng hoặc dây bị nghiền.</t>
  </si>
  <si>
    <t>Quan sát khi đã rút điện.</t>
  </si>
  <si>
    <t>Dây/phích còn nguyên.</t>
  </si>
  <si>
    <t>Thiết bị</t>
  </si>
  <si>
    <t>Quạt bàn SENKO, cánh 29 cm</t>
  </si>
  <si>
    <t>Standard</t>
  </si>
  <si>
    <t>Đạt khi pre-check: dây và phích nguyên vẹn.</t>
  </si>
  <si>
    <t>AI baseline</t>
  </si>
  <si>
    <t>https://youtube.com/shorts/GMDE6egqBtA</t>
  </si>
  <si>
    <t>Video demo đề xuất số 1.</t>
  </si>
  <si>
    <t>Hãng</t>
  </si>
  <si>
    <t>SENKO</t>
  </si>
  <si>
    <t>TC-02</t>
  </si>
  <si>
    <t>Xác minh chuyển Speed 1 → 2 → 3 một cách ổn định.</t>
  </si>
  <si>
    <t>CHK-02</t>
  </si>
  <si>
    <t>Lồng quạt</t>
  </si>
  <si>
    <t>Nhấn tuần tự Speed 1, Speed 2 rồi Speed 3.</t>
  </si>
  <si>
    <t>Lồng trước/sau đã lắp, khoá và không biến dạng thấy rõ.</t>
  </si>
  <si>
    <t>Quạt hoạt động bình thường; có cụm nút tốc độ cơ.</t>
  </si>
  <si>
    <t>Quan sát và kiểm tra nhẹ khi đã rút điện.</t>
  </si>
  <si>
    <t>Lồng chắc chắn; khe không bị cản.</t>
  </si>
  <si>
    <t>1. Bắt đầu ở Speed 1.
2. Nhấn Speed 2 và quan sát.
3. Nhấn Speed 3 và quan sát.
4. Kiểm tra mỗi thời điểm chỉ có một nút được gài.</t>
  </si>
  <si>
    <t>Mức cũ nhả khi chọn mức mới; airflow/tốc độ motor tăng theo từng mức; không kẹt nút và không có hai speed state cùng bị gài.</t>
  </si>
  <si>
    <t>Đạt khi pre-check: lồng lắp chắc, không biến dạng rõ.</t>
  </si>
  <si>
    <t>Ba mức chuyển đúng thứ tự; airflow tăng; mỗi thời điểm chỉ một nút tốc độ được gài.</t>
  </si>
  <si>
    <t>Năm/ngày sản xuất</t>
  </si>
  <si>
    <t>09-2025</t>
  </si>
  <si>
    <t>https://youtube.com/shorts/IZpYtqpOnuY</t>
  </si>
  <si>
    <t>Video demo đề xuất số 2.</t>
  </si>
  <si>
    <t>CHK-03</t>
  </si>
  <si>
    <t>Khoảng hở cánh</t>
  </si>
  <si>
    <t>TC-03</t>
  </si>
  <si>
    <t>Cánh nằm tương đối đúng tâm và không chạm lồng.</t>
  </si>
  <si>
    <t>Quan sát; chỉ nghe khi vận hành.</t>
  </si>
  <si>
    <t>Xác minh nút OFF dừng quạt từ Speed 3.</t>
  </si>
  <si>
    <t>Không có contact/rubbing thấy được.</t>
  </si>
  <si>
    <t>Nhấn OFF/0 khi Speed 3 đang active.</t>
  </si>
  <si>
    <t>Quạt đang chạy ở Speed 3.</t>
  </si>
  <si>
    <t>1. Chạy Speed 3 trong 10 giây.
2. Nhấn OFF/0.
3. Quan sát đến khi cánh dừng hẳn.</t>
  </si>
  <si>
    <t>Điện áp / tần số định mức</t>
  </si>
  <si>
    <t>Đạt khi pre-check/vận hành: không ghi nhận cánh chạm lồng.</t>
  </si>
  <si>
    <t>220 V / 50 Hz</t>
  </si>
  <si>
    <t>Powered drive dừng sau khi chọn OFF; cánh coast down tự nhiên; không rung, tiếng ồn hoặc kẹt nút bất thường.</t>
  </si>
  <si>
    <t>Nút OFF ngắt drive; cánh giảm tốc tự nhiên và dừng; không ghi nhận bất thường.</t>
  </si>
  <si>
    <t>CHK-04</t>
  </si>
  <si>
    <t>Đế / thân quạt</t>
  </si>
  <si>
    <t>Đế và liên kết thân quạt nguyên vẹn, ổn định.</t>
  </si>
  <si>
    <t>Có thể dùng làm video nếu thuận tiện hơn case khác.</t>
  </si>
  <si>
    <t>Quan sát và wobble test nhẹ khi OFF.</t>
  </si>
  <si>
    <t>Không nứt, lỏng hoặc nghiêng quá mức.</t>
  </si>
  <si>
    <t>Công suất định mức</t>
  </si>
  <si>
    <t>TC-04</t>
  </si>
  <si>
    <t>Oscillation</t>
  </si>
  <si>
    <t>40 W</t>
  </si>
  <si>
    <t>Xác minh có thể bật horizontal oscillation khi quạt đang chạy.</t>
  </si>
  <si>
    <t>Đạt khi pre-check: đế và liên kết thân quạt ổn định.</t>
  </si>
  <si>
    <t>Gài núm/chốt oscillation khi quạt chạy Speed 2.</t>
  </si>
  <si>
    <t>Quạt chạy Speed 2; đầu quạt ở gần vị trí giữa.</t>
  </si>
  <si>
    <t>1. Chạy Speed 2.
2. Gài oscillation bằng lực nhẹ bình thường.
3. Quan sát ít nhất một chu kỳ trái–phải và phải–trái.</t>
  </si>
  <si>
    <t>Đầu quạt oscillate trơn tru trong hành trình bình thường; không gear skipping, grinding hoặc giật đột ngột.</t>
  </si>
  <si>
    <t>CHK-05</t>
  </si>
  <si>
    <t>Tay xách / thân quạt</t>
  </si>
  <si>
    <t>Đầu quạt bắt đầu dao động đều; không ghi nhận trượt nhông, tiếng grinding hoặc giật.</t>
  </si>
  <si>
    <t>Tay xách, vỏ và liên kết thân quạt nguyên vẹn.</t>
  </si>
  <si>
    <t>Loại điều khiển</t>
  </si>
  <si>
    <t>Quan sát và kiểm tra nhẹ bằng tay khi rút điện.</t>
  </si>
  <si>
    <t>Nút cơ OFF/1/2/3</t>
  </si>
  <si>
    <t>Liên kết chắc; không nứt hoặc lỏng bất thường.</t>
  </si>
  <si>
    <t>Đạt khi pre-check: tay xách và thân quạt chắc chắn.</t>
  </si>
  <si>
    <t>https://youtube.com/shorts/PMJbDRZeKiY</t>
  </si>
  <si>
    <t>Video demo đề xuất số 3.</t>
  </si>
  <si>
    <t>TC-05</t>
  </si>
  <si>
    <t>Xác minh có thể tắt oscillation khi đầu quạt đang di chuyển.</t>
  </si>
  <si>
    <t>Nhả oscillation control ở giữa hành trình.</t>
  </si>
  <si>
    <t>Quạt đang oscillate ở Speed 2.</t>
  </si>
  <si>
    <t>CHK-06</t>
  </si>
  <si>
    <t>Khớp tilt</t>
  </si>
  <si>
    <t>1. Chờ đầu quạt ở khoảng giữa hành trình.
2. Nhả oscillation control nhẹ nhàng.
3. Quan sát trong 10 giây.</t>
  </si>
  <si>
    <t>Khớp tilt/cổ không nứt hoặc lỏng nghiêm trọng.</t>
  </si>
  <si>
    <t>Điều chỉnh bằng tay khi OFF.</t>
  </si>
  <si>
    <t>Oscillation dừng không jam hoặc có tiếng bất thường; quạt tiếp tục thổi theo một hướng cố định.</t>
  </si>
  <si>
    <t>Núm/chốt cơ</t>
  </si>
  <si>
    <t>Dao động dừng; cánh vẫn quay ở tốc độ đã chọn; không kẹt hoặc phát tiếng lạ.</t>
  </si>
  <si>
    <t>https://youtube.com/shorts/w1_bJq003pc</t>
  </si>
  <si>
    <t>Video demo đề xuất số 4.</t>
  </si>
  <si>
    <t>Giữ được góc đã chọn.</t>
  </si>
  <si>
    <t>TC-06</t>
  </si>
  <si>
    <t>Cơ khí</t>
  </si>
  <si>
    <t>Xác minh tilt adjustment và khả năng giữ vị trí đầu quạt.</t>
  </si>
  <si>
    <t>Đạt khi pre-check: khớp giữ góc đã chọn.</t>
  </si>
  <si>
    <t>Điều chỉnh đầu quạt qua các vị trí tilt có sẵn.</t>
  </si>
  <si>
    <t>Tắt quạt trước khi điều chỉnh tilt bằng tay.</t>
  </si>
  <si>
    <t>1. Tắt quạt.
2. Chỉnh đầu quạt lên/xuống trong giới hạn, không ép quá stop.
3. Đặt ở vị trí giữa.
4. Chạy Speed 3 trong 30 giây.</t>
  </si>
  <si>
    <t>Tilt mechanism di chuyển đúng vị trí và giữ góc khi chạy; không tụt, trượt hoặc làm cánh chạm guard.</t>
  </si>
  <si>
    <t>Khớp giữ vị trí trong 30 giây ở Speed 3; không tụt góc hoặc chạm guard.</t>
  </si>
  <si>
    <t>CHK-07</t>
  </si>
  <si>
    <t>Oscillation control</t>
  </si>
  <si>
    <t>Núm/chốt nguyên vẹn và di chuyển bằng lực nhẹ bình thường.</t>
  </si>
  <si>
    <t>Kiểm tra bằng tay/vận hành.</t>
  </si>
  <si>
    <t>Không gãy hoặc jam.</t>
  </si>
  <si>
    <t>https://youtube.com/shorts/-QIHuKBSRac</t>
  </si>
  <si>
    <t>Video demo đề xuất số 5.</t>
  </si>
  <si>
    <t>CHỈ SỐ BỘ TEST</t>
  </si>
  <si>
    <t>Đạt khi pre-check: núm/chốt hoạt động bằng lực bình thường.</t>
  </si>
  <si>
    <t>TC-07</t>
  </si>
  <si>
    <t>Cơ khí / Tay xách</t>
  </si>
  <si>
    <t>Xác minh tay xách và liên kết thân quạt nguyên vẹn, chắc chắn.</t>
  </si>
  <si>
    <t>Khi quạt OFF, quan sát và tác động lực nhẹ bằng tay.</t>
  </si>
  <si>
    <t>Quạt OFF và rút điện; đặt trên mặt phẳng ổn định.</t>
  </si>
  <si>
    <t>CHK-08</t>
  </si>
  <si>
    <t>Nút Speed / OFF</t>
  </si>
  <si>
    <t>Ký hiệu đọc được, nút không nứt và return/latch bình thường.</t>
  </si>
  <si>
    <t>Thao tác bằng tay.</t>
  </si>
  <si>
    <t>Các mechanical state ổn định.</t>
  </si>
  <si>
    <t>Đạt khi pre-check: OFF/1/2/3 latch/release ổn định.</t>
  </si>
  <si>
    <t>CHK-09</t>
  </si>
  <si>
    <t>Nameplate</t>
  </si>
  <si>
    <t>Đọc được hãng, tháng/năm sản xuất, lô, điện áp/tần số và công suất định mức.</t>
  </si>
  <si>
    <t>Chụp ảnh và quan sát.</t>
  </si>
  <si>
    <t>Tổng test case đã thiết kế</t>
  </si>
  <si>
    <t>Identity và rated supply được ghi lại.</t>
  </si>
  <si>
    <t>Ảnh nhãn thiết bị ghi nhận SENKO, 09-2025, lô 109, 220 V/50 Hz, 40 W.</t>
  </si>
  <si>
    <t>CHK-10</t>
  </si>
  <si>
    <t>Pre-screen bất thường</t>
  </si>
  <si>
    <t>Không có mùi khét, rung mạnh, guard lỏng hoặc grinding trước formal execution.</t>
  </si>
  <si>
    <t>Pre-check ngắn ở speed thấp.</t>
  </si>
  <si>
    <t>An toàn để tiếp tục thực thi test.</t>
  </si>
  <si>
    <t>Đạt pre-screen: không ghi nhận mùi khét, rung mạnh, guard lỏng hoặc grinding.</t>
  </si>
  <si>
    <t>1. Rút điện.
2. Quan sát tay xách và thân quạt.
3. Tác động lực nhẹ bằng tay.
4. Ghi nhận độ chắc và dấu hiệu nứt/lỏng.</t>
  </si>
  <si>
    <t>Tay xách và thân quạt nguyên vẹn; liên kết chắc; không nứt hoặc lỏng bất thường.</t>
  </si>
  <si>
    <t>Tay xách và thân quạt nguyên vẹn; liên kết chắc; không ghi nhận nứt hoặc lỏng bất thường.</t>
  </si>
  <si>
    <t>Kiểm tra phù hợp cấu tạo quạt bàn.</t>
  </si>
  <si>
    <t>TC-08</t>
  </si>
  <si>
    <t>Cơ khí / Độ ổn định</t>
  </si>
  <si>
    <t>Xác minh base stability ở Speed 3 khi bật oscillation.</t>
  </si>
  <si>
    <t>Speed 3 + oscillation trên sàn cứng, phẳng.</t>
  </si>
  <si>
    <t>Quạt lắp đúng, đặt trên mặt phẳng và không có vật cản.</t>
  </si>
  <si>
    <t>1. Đặt quạt trên mặt phẳng.
2. Chọn Speed 3.
3. Bật oscillation.
4. Quan sát 2 phút từ khoảng cách an toàn.</t>
  </si>
  <si>
    <t>Đế không bò, rocking quá mức hoặc lật; độ rung ổn định và dây nguồn không bị kéo căng.</t>
  </si>
  <si>
    <t>Đế đứng ổn định trong 2 phút; không bò, lật hoặc làm dây nguồn bị căng.</t>
  </si>
  <si>
    <t>Không cố tình đặt trên mặt bàn nghiêng hoặc không ổn định.</t>
  </si>
  <si>
    <t>TC-09</t>
  </si>
  <si>
    <t>Độ tin cậy / Nhiệt</t>
  </si>
  <si>
    <t>Xác minh vận hành liên tục ổn định ở tốc độ tối đa.</t>
  </si>
  <si>
    <t>Speed 3 + oscillation trong 30 phút.</t>
  </si>
  <si>
    <t>Quạt sạch, không bị che và dùng trong điều kiện phòng bình thường.</t>
  </si>
  <si>
    <t>1. Bật Speed 3 và oscillation.
2. Chạy 30 phút.
3. Mỗi 10 phút quan sát tiếng, rung, mùi và độ ấm vỏ motor mà không mở thiết bị.</t>
  </si>
  <si>
    <t>Không chậm bất ngờ, rung quá mức, mùi khét, khói, grinding hoặc shutdown. Vỏ có thể ấm nhưng không có dấu hiệu quá nhiệt.</t>
  </si>
  <si>
    <t>Quạt vận hành liên tục đủ 30 phút; không shutdown, khói, mùi khét hoặc rung/ồn bất thường.</t>
  </si>
  <si>
    <t>Student edge case</t>
  </si>
  <si>
    <t>Không chạm phần điện bên trong. Dừng ngay nếu có mùi, khói hoặc nhiệt bất thường.</t>
  </si>
  <si>
    <t>TC-10</t>
  </si>
  <si>
    <t>An toàn / Cơ khí</t>
  </si>
  <si>
    <t>Xác minh blade/guard clearance và visible fastener ổn định.</t>
  </si>
  <si>
    <t>Quan sát ở Speed 1 rồi Speed 3.</t>
  </si>
  <si>
    <t>Guard đã lắp; không chạm vào blade/guard khi đang chạy.</t>
  </si>
  <si>
    <t>1. Kiểm tra guard và fastener khi OFF.
2. Chạy Speed 1 rồi Speed 3.
3. Nghe tiếng cọ và quan sát blade/guard contact.</t>
  </si>
  <si>
    <t>Guard chắc chắn; cánh không chạm guard; không có tiếng cọ hoặc fastener lỏng nhìn thấy được.</t>
  </si>
  <si>
    <t>Guard và fastener chắc; không quan sát thấy cánh chạm guard ở mức 1 hoặc mức 3.</t>
  </si>
  <si>
    <t>Không đưa ngón tay hoặc dụng cụ xuyên qua guard.</t>
  </si>
  <si>
    <t>TC-11</t>
  </si>
  <si>
    <t>Edge / Control Interlock</t>
  </si>
  <si>
    <t>Kiểm tra khi hai nút tốc độ được nhấn gần đồng thời.</t>
  </si>
  <si>
    <t>Từ OFF, nhấn gần đồng thời Speed 1 và Speed 2.</t>
  </si>
  <si>
    <t>Quạt nút cơ; chỉ dùng lực ngón tay bình thường.</t>
  </si>
  <si>
    <t>1. Bắt đầu ở OFF.
2. Nhấn gần đồng thời Speed 1 và Speed 2.
3. Thả tay và kiểm tra trạng thái nút.
4. Tắt trước khi lặp lại một lần.</t>
  </si>
  <si>
    <t>Cơ cấu kết thúc ở một speed ổn định hoặc không chọn speed; không có hai mức cùng gài, nút không jam và không có dấu hiệu điện/cơ bất thường.</t>
  </si>
  <si>
    <t>Cơ cấu kết thúc ở một mức tốc độ ổn định; không có hai nút cùng gài và không bị kẹt.</t>
  </si>
  <si>
    <t>AI-baseline case</t>
  </si>
  <si>
    <t>Missed by AI</t>
  </si>
  <si>
    <t>Edge case 1. Dừng nếu nút bind hoặc có tiếng/mùi bất thường.</t>
  </si>
  <si>
    <t>TC-12</t>
  </si>
  <si>
    <t>Edge / Partial Input</t>
  </si>
  <si>
    <t>Kiểm tra khi nút tốc độ kế tiếp chỉ được half-press.</t>
  </si>
  <si>
    <t>Khi Speed 1 active, nhấn một phần Speed 2 rồi thả trước khi latch.</t>
  </si>
  <si>
    <t>Quạt nút cơ; Speed 1 đang active.</t>
  </si>
  <si>
    <t>1. Chạy Speed 1.
2. Nhấn một phần Speed 2 bằng lực nhẹ; không ép cơ cấu.
3. Thả tay.
4. Quan sát trạng thái nút và motor cuối cùng.</t>
  </si>
  <si>
    <t>Control kết thúc ở trạng thái ổn định, rõ ràng (một speed hợp lệ hoặc OFF); không stuck button, contact chatter hoặc motor sound bất thường.</t>
  </si>
  <si>
    <t>Sau khi thả, điều khiển trở về trạng thái hợp lệ; không kẹt nút, chatter hoặc tiếng motor bất thường.</t>
  </si>
  <si>
    <t>Edge case 2. Ghi đúng observation; không tự động FAIL nếu chưa vi phạm oracle an toàn/ổn định.</t>
  </si>
  <si>
    <t>TC-13</t>
  </si>
  <si>
    <t>Edge / Power Recovery</t>
  </si>
  <si>
    <t>Kiểm tra sau mất nguồn ngắn khi nút tốc độ vẫn được gài.</t>
  </si>
  <si>
    <t>Dùng switched power strip/wall switch cắt và cấp lại nguồn ở Speed 2.</t>
  </si>
  <si>
    <t>Quạt nối qua công tắc an toàn; Speed 2 đang latch.</t>
  </si>
  <si>
    <t>1. Chạy Speed 2.
2. Tắt nguồn ngoài mà không chạm phích.
3. Chờ 5 giây.
4. Cấp lại nguồn.
5. Quan sát hành vi restart.</t>
  </si>
  <si>
    <t>Quạt dừng khi mất nguồn. Khi có lại điện, hành vi phù hợp physical selector state; không tiếng/mùi/control jam/tia lửa bất thường.</t>
  </si>
  <si>
    <t>Quạt dừng khi mất nguồn và chạy lại đúng mức đang gài sau khi cấp nguồn; không ghi nhận bất thường.</t>
  </si>
  <si>
    <t>Edge case 3. Dùng công tắc; không live-plug/unplug lặp lại.</t>
  </si>
  <si>
    <t>TC-14</t>
  </si>
  <si>
    <t>Số test đã thực thi vật lý</t>
  </si>
  <si>
    <t>Edge / Oscillation Boundary</t>
  </si>
  <si>
    <t>Kiểm tra nhả oscillation gần end-of-travel.</t>
  </si>
  <si>
    <t>Nhả nhẹ oscillation khi đầu quạt gần giới hạn trái/phải.</t>
  </si>
  <si>
    <t>Quạt oscillate ở Speed 2.</t>
  </si>
  <si>
    <t>1. Bật oscillation.
2. Chờ đầu quạt gần biên hành trình.
3. Thử nhả nhẹ.
4. Nếu lực bất thường, dừng và ghi nhận; không ép.</t>
  </si>
  <si>
    <t>Oscillation nhả bằng lực nhẹ bình thường hoặc resist an toàn mà không hỏng; không grinding, jerk hoặc stuck control.</t>
  </si>
  <si>
    <t>Núm/chốt nhả bằng lực bình thường; dao động dừng mà không grinding, giật hoặc kẹt.</t>
  </si>
  <si>
    <t>Edge case 4. Chỉ quan sát không phá huỷ.</t>
  </si>
  <si>
    <t>TC-15</t>
  </si>
  <si>
    <t>Edge / Repeated Transition</t>
  </si>
  <si>
    <t>Kiểm tra control stability khi đổi speed nhanh nhưng bình thường.</t>
  </si>
  <si>
    <t>Lặp Speed 1 → 3 → 1 trong 20 chu kỳ có kiểm soát.</t>
  </si>
  <si>
    <t>Quạt lắp đầy đủ và hoạt động bình thường.</t>
  </si>
  <si>
    <t>1. Bắt đầu Speed 1.
2. Chọn Speed 3.
3. Quay lại Speed 1.
4. Lặp 20 chu kỳ ở tốc độ thao tác của người dùng.
5. Kết thúc bằng OFF.</t>
  </si>
  <si>
    <t>Nút tiếp tục latch/release bình thường; quạt phản hồi nhất quán; không tăng dần độ kẹt, tiếng/mùi bất thường hoặc lỗi chuyển speed.</t>
  </si>
  <si>
    <t>Hoàn thành 20 chu kỳ; cơ cấu latch/release ổn định, không tăng độ kẹt, tiếng ồn hoặc mùi.</t>
  </si>
  <si>
    <t>Edge case 5. Đây không phải destructive endurance test.</t>
  </si>
  <si>
    <t>Số PASS</t>
  </si>
  <si>
    <t>Số FAIL</t>
  </si>
  <si>
    <t>Số BLOCKED</t>
  </si>
  <si>
    <t>Số NOT RUN</t>
  </si>
  <si>
    <t>Execution pass rate</t>
  </si>
  <si>
    <t>Số link video đã thêm</t>
  </si>
  <si>
    <t>KIỂM TRA TUÂN THỦ R3</t>
  </si>
  <si>
    <t>Đủ 15 test case cuối</t>
  </si>
  <si>
    <t>Tối thiểu 3 AI-missed edge case</t>
  </si>
  <si>
    <t>Tối thiểu 5 test được thực thi</t>
  </si>
  <si>
    <t>Tối thiểu 5 video demo</t>
  </si>
  <si>
    <t>Ảnh thiết bị + thẻ sinh viên</t>
  </si>
  <si>
    <t>Ảnh nameplate / serial</t>
  </si>
  <si>
    <t>GHI CHÚ THỰC THI</t>
  </si>
  <si>
    <t>Đánh giá tổng thể sản phẩm</t>
  </si>
  <si>
    <t>15/15 test PASS;</t>
  </si>
  <si>
    <t>Vấn đề an toàn / độ tin cậy quan sát được</t>
  </si>
  <si>
    <t>Xác thực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</si>
</sst>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rgb="FF000000"/>
      <name val="Carlito"/>
      <scheme val="minor"/>
    </font>
    <font>
      <b/>
      <sz val="11.0"/>
      <color rgb="FFFFFFFF"/>
      <name val="Google Sans"/>
    </font>
    <font>
      <b/>
      <sz val="14.0"/>
      <color rgb="FFFFFFFF"/>
      <name val="Google Sans"/>
    </font>
    <font>
      <color theme="1"/>
      <name val="Google Sans"/>
    </font>
    <font>
      <b/>
      <sz val="11.0"/>
      <color theme="1"/>
      <name val="Google Sans"/>
    </font>
    <font>
      <sz val="11.0"/>
      <color theme="1"/>
      <name val="Google Sans"/>
    </font>
    <font>
      <b/>
      <sz val="11.0"/>
      <color rgb="FF0B5394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3" fontId="6" numFmtId="0" xfId="0" applyAlignment="1" applyFill="1" applyFont="1">
      <alignment shrinkToFit="0" wrapText="1"/>
    </xf>
    <xf borderId="0" fillId="0" fontId="5" numFmtId="164" xfId="0" applyAlignment="1" applyFont="1" applyNumberFormat="1">
      <alignment shrinkToFit="0" wrapText="1"/>
    </xf>
  </cellXfs>
  <cellStyles count="1">
    <cellStyle xfId="0" name="Normal" builtinId="0"/>
  </cellStyles>
  <dxfs count="6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7F6000"/>
      </font>
      <fill>
        <patternFill patternType="solid">
          <fgColor rgb="FFFCE5CD"/>
          <bgColor rgb="FFFCE5CD"/>
        </patternFill>
      </fill>
      <border/>
    </dxf>
    <dxf>
      <font>
        <color rgb="FF666666"/>
      </font>
      <fill>
        <patternFill patternType="solid">
          <fgColor rgb="FFE7E6E6"/>
          <bgColor rgb="FFE7E6E6"/>
        </patternFill>
      </fill>
      <border/>
    </dxf>
    <dxf>
      <font>
        <b/>
        <color rgb="FF0B5394"/>
      </font>
      <fill>
        <patternFill patternType="solid">
          <fgColor rgb="FFD9EAF7"/>
          <bgColor rgb="FFD9EAF7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2.0"/>
    <col customWidth="1" min="3" max="3" width="34.0"/>
    <col customWidth="1" min="4" max="4" width="28.0"/>
    <col customWidth="1" min="5" max="5" width="38.0"/>
    <col customWidth="1" min="6" max="6" width="46.0"/>
    <col customWidth="1" min="7" max="7" width="50.0"/>
    <col customWidth="1" min="8" max="8" width="36.0"/>
    <col customWidth="1" min="9" max="9" width="13.0"/>
    <col customWidth="1" min="10" max="11" width="18.0"/>
    <col customWidth="1" min="12" max="12" width="30.0"/>
    <col customWidth="1" min="13" max="13" width="34.0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5" t="s">
        <v>16</v>
      </c>
      <c r="B2" s="5" t="s">
        <v>18</v>
      </c>
      <c r="C2" s="5" t="s">
        <v>20</v>
      </c>
      <c r="D2" s="5" t="s">
        <v>21</v>
      </c>
      <c r="E2" s="5" t="s">
        <v>23</v>
      </c>
      <c r="F2" s="5" t="s">
        <v>25</v>
      </c>
      <c r="G2" s="5" t="s">
        <v>27</v>
      </c>
      <c r="H2" s="5" t="s">
        <v>28</v>
      </c>
      <c r="I2" s="5" t="s">
        <v>34</v>
      </c>
      <c r="J2" s="5" t="s">
        <v>42</v>
      </c>
      <c r="K2" s="5" t="s">
        <v>44</v>
      </c>
      <c r="L2" s="5" t="s">
        <v>45</v>
      </c>
      <c r="M2" s="5" t="s">
        <v>46</v>
      </c>
    </row>
    <row r="3">
      <c r="A3" s="5" t="s">
        <v>49</v>
      </c>
      <c r="B3" s="5" t="s">
        <v>18</v>
      </c>
      <c r="C3" s="5" t="s">
        <v>50</v>
      </c>
      <c r="D3" s="5" t="s">
        <v>53</v>
      </c>
      <c r="E3" s="5" t="s">
        <v>55</v>
      </c>
      <c r="F3" s="5" t="s">
        <v>58</v>
      </c>
      <c r="G3" s="5" t="s">
        <v>59</v>
      </c>
      <c r="H3" s="5" t="s">
        <v>61</v>
      </c>
      <c r="I3" s="5" t="s">
        <v>34</v>
      </c>
      <c r="J3" s="5" t="s">
        <v>42</v>
      </c>
      <c r="K3" s="5" t="s">
        <v>44</v>
      </c>
      <c r="L3" s="5" t="s">
        <v>64</v>
      </c>
      <c r="M3" s="5" t="s">
        <v>65</v>
      </c>
    </row>
    <row r="4">
      <c r="A4" s="5" t="s">
        <v>68</v>
      </c>
      <c r="B4" s="5" t="s">
        <v>18</v>
      </c>
      <c r="C4" s="5" t="s">
        <v>71</v>
      </c>
      <c r="D4" s="5" t="s">
        <v>73</v>
      </c>
      <c r="E4" s="5" t="s">
        <v>74</v>
      </c>
      <c r="F4" s="5" t="s">
        <v>75</v>
      </c>
      <c r="G4" s="5" t="s">
        <v>79</v>
      </c>
      <c r="H4" s="5" t="s">
        <v>80</v>
      </c>
      <c r="I4" s="5" t="s">
        <v>34</v>
      </c>
      <c r="J4" s="5" t="s">
        <v>42</v>
      </c>
      <c r="K4" s="5" t="s">
        <v>44</v>
      </c>
      <c r="L4" s="5"/>
      <c r="M4" s="5" t="s">
        <v>84</v>
      </c>
    </row>
    <row r="5">
      <c r="A5" s="5" t="s">
        <v>88</v>
      </c>
      <c r="B5" s="5" t="s">
        <v>89</v>
      </c>
      <c r="C5" s="5" t="s">
        <v>91</v>
      </c>
      <c r="D5" s="5" t="s">
        <v>93</v>
      </c>
      <c r="E5" s="5" t="s">
        <v>94</v>
      </c>
      <c r="F5" s="5" t="s">
        <v>95</v>
      </c>
      <c r="G5" s="5" t="s">
        <v>96</v>
      </c>
      <c r="H5" s="5" t="s">
        <v>99</v>
      </c>
      <c r="I5" s="5" t="s">
        <v>34</v>
      </c>
      <c r="J5" s="5" t="s">
        <v>42</v>
      </c>
      <c r="K5" s="5" t="s">
        <v>44</v>
      </c>
      <c r="L5" s="5" t="s">
        <v>106</v>
      </c>
      <c r="M5" s="5" t="s">
        <v>107</v>
      </c>
    </row>
    <row r="6">
      <c r="A6" s="5" t="s">
        <v>108</v>
      </c>
      <c r="B6" s="5" t="s">
        <v>89</v>
      </c>
      <c r="C6" s="5" t="s">
        <v>109</v>
      </c>
      <c r="D6" s="5" t="s">
        <v>110</v>
      </c>
      <c r="E6" s="5" t="s">
        <v>111</v>
      </c>
      <c r="F6" s="5" t="s">
        <v>114</v>
      </c>
      <c r="G6" s="5" t="s">
        <v>117</v>
      </c>
      <c r="H6" s="5" t="s">
        <v>119</v>
      </c>
      <c r="I6" s="5" t="s">
        <v>34</v>
      </c>
      <c r="J6" s="5" t="s">
        <v>42</v>
      </c>
      <c r="K6" s="5" t="s">
        <v>44</v>
      </c>
      <c r="L6" s="5" t="s">
        <v>120</v>
      </c>
      <c r="M6" s="5" t="s">
        <v>121</v>
      </c>
    </row>
    <row r="7">
      <c r="A7" s="5" t="s">
        <v>123</v>
      </c>
      <c r="B7" s="5" t="s">
        <v>124</v>
      </c>
      <c r="C7" s="5" t="s">
        <v>125</v>
      </c>
      <c r="D7" s="5" t="s">
        <v>127</v>
      </c>
      <c r="E7" s="5" t="s">
        <v>128</v>
      </c>
      <c r="F7" s="5" t="s">
        <v>129</v>
      </c>
      <c r="G7" s="5" t="s">
        <v>130</v>
      </c>
      <c r="H7" s="5" t="s">
        <v>131</v>
      </c>
      <c r="I7" s="5" t="s">
        <v>34</v>
      </c>
      <c r="J7" s="5" t="s">
        <v>42</v>
      </c>
      <c r="K7" s="5" t="s">
        <v>44</v>
      </c>
      <c r="L7" s="5" t="s">
        <v>137</v>
      </c>
      <c r="M7" s="5" t="s">
        <v>138</v>
      </c>
    </row>
    <row r="8">
      <c r="A8" s="5" t="s">
        <v>141</v>
      </c>
      <c r="B8" s="5" t="s">
        <v>142</v>
      </c>
      <c r="C8" s="5" t="s">
        <v>143</v>
      </c>
      <c r="D8" s="5" t="s">
        <v>144</v>
      </c>
      <c r="E8" s="5" t="s">
        <v>145</v>
      </c>
      <c r="F8" s="5" t="s">
        <v>165</v>
      </c>
      <c r="G8" s="5" t="s">
        <v>166</v>
      </c>
      <c r="H8" s="5" t="s">
        <v>167</v>
      </c>
      <c r="I8" s="5" t="s">
        <v>34</v>
      </c>
      <c r="J8" s="5" t="s">
        <v>42</v>
      </c>
      <c r="K8" s="5" t="s">
        <v>44</v>
      </c>
      <c r="L8" s="5"/>
      <c r="M8" s="5" t="s">
        <v>168</v>
      </c>
    </row>
    <row r="9">
      <c r="A9" s="5" t="s">
        <v>169</v>
      </c>
      <c r="B9" s="5" t="s">
        <v>170</v>
      </c>
      <c r="C9" s="5" t="s">
        <v>171</v>
      </c>
      <c r="D9" s="5" t="s">
        <v>172</v>
      </c>
      <c r="E9" s="5" t="s">
        <v>173</v>
      </c>
      <c r="F9" s="5" t="s">
        <v>174</v>
      </c>
      <c r="G9" s="5" t="s">
        <v>175</v>
      </c>
      <c r="H9" s="5" t="s">
        <v>176</v>
      </c>
      <c r="I9" s="5" t="s">
        <v>34</v>
      </c>
      <c r="J9" s="5" t="s">
        <v>42</v>
      </c>
      <c r="K9" s="5" t="s">
        <v>44</v>
      </c>
      <c r="L9" s="5"/>
      <c r="M9" s="5" t="s">
        <v>177</v>
      </c>
    </row>
    <row r="10">
      <c r="A10" s="5" t="s">
        <v>178</v>
      </c>
      <c r="B10" s="5" t="s">
        <v>179</v>
      </c>
      <c r="C10" s="5" t="s">
        <v>180</v>
      </c>
      <c r="D10" s="5" t="s">
        <v>181</v>
      </c>
      <c r="E10" s="5" t="s">
        <v>182</v>
      </c>
      <c r="F10" s="5" t="s">
        <v>183</v>
      </c>
      <c r="G10" s="5" t="s">
        <v>184</v>
      </c>
      <c r="H10" s="5" t="s">
        <v>185</v>
      </c>
      <c r="I10" s="5" t="s">
        <v>34</v>
      </c>
      <c r="J10" s="5" t="s">
        <v>42</v>
      </c>
      <c r="K10" s="5" t="s">
        <v>44</v>
      </c>
      <c r="L10" s="5"/>
      <c r="M10" s="5" t="s">
        <v>187</v>
      </c>
    </row>
    <row r="11">
      <c r="A11" s="5" t="s">
        <v>188</v>
      </c>
      <c r="B11" s="5" t="s">
        <v>189</v>
      </c>
      <c r="C11" s="5" t="s">
        <v>190</v>
      </c>
      <c r="D11" s="5" t="s">
        <v>191</v>
      </c>
      <c r="E11" s="5" t="s">
        <v>192</v>
      </c>
      <c r="F11" s="5" t="s">
        <v>193</v>
      </c>
      <c r="G11" s="5" t="s">
        <v>194</v>
      </c>
      <c r="H11" s="5" t="s">
        <v>195</v>
      </c>
      <c r="I11" s="5" t="s">
        <v>34</v>
      </c>
      <c r="J11" s="5" t="s">
        <v>42</v>
      </c>
      <c r="K11" s="5" t="s">
        <v>44</v>
      </c>
      <c r="L11" s="5"/>
      <c r="M11" s="5" t="s">
        <v>196</v>
      </c>
    </row>
    <row r="12">
      <c r="A12" s="5" t="s">
        <v>197</v>
      </c>
      <c r="B12" s="5" t="s">
        <v>198</v>
      </c>
      <c r="C12" s="5" t="s">
        <v>199</v>
      </c>
      <c r="D12" s="5" t="s">
        <v>200</v>
      </c>
      <c r="E12" s="5" t="s">
        <v>201</v>
      </c>
      <c r="F12" s="5" t="s">
        <v>202</v>
      </c>
      <c r="G12" s="5" t="s">
        <v>203</v>
      </c>
      <c r="H12" s="5" t="s">
        <v>204</v>
      </c>
      <c r="I12" s="5" t="s">
        <v>34</v>
      </c>
      <c r="J12" s="5" t="s">
        <v>186</v>
      </c>
      <c r="K12" s="5" t="s">
        <v>206</v>
      </c>
      <c r="L12" s="5"/>
      <c r="M12" s="5" t="s">
        <v>207</v>
      </c>
    </row>
    <row r="13">
      <c r="A13" s="5" t="s">
        <v>208</v>
      </c>
      <c r="B13" s="5" t="s">
        <v>209</v>
      </c>
      <c r="C13" s="5" t="s">
        <v>210</v>
      </c>
      <c r="D13" s="5" t="s">
        <v>211</v>
      </c>
      <c r="E13" s="5" t="s">
        <v>212</v>
      </c>
      <c r="F13" s="5" t="s">
        <v>213</v>
      </c>
      <c r="G13" s="5" t="s">
        <v>214</v>
      </c>
      <c r="H13" s="5" t="s">
        <v>215</v>
      </c>
      <c r="I13" s="5" t="s">
        <v>34</v>
      </c>
      <c r="J13" s="5" t="s">
        <v>186</v>
      </c>
      <c r="K13" s="5" t="s">
        <v>206</v>
      </c>
      <c r="L13" s="5"/>
      <c r="M13" s="5" t="s">
        <v>216</v>
      </c>
    </row>
    <row r="14">
      <c r="A14" s="5" t="s">
        <v>217</v>
      </c>
      <c r="B14" s="5" t="s">
        <v>218</v>
      </c>
      <c r="C14" s="5" t="s">
        <v>219</v>
      </c>
      <c r="D14" s="5" t="s">
        <v>220</v>
      </c>
      <c r="E14" s="5" t="s">
        <v>221</v>
      </c>
      <c r="F14" s="5" t="s">
        <v>222</v>
      </c>
      <c r="G14" s="5" t="s">
        <v>223</v>
      </c>
      <c r="H14" s="5" t="s">
        <v>224</v>
      </c>
      <c r="I14" s="5" t="s">
        <v>34</v>
      </c>
      <c r="J14" s="5" t="s">
        <v>186</v>
      </c>
      <c r="K14" s="5" t="s">
        <v>206</v>
      </c>
      <c r="L14" s="5"/>
      <c r="M14" s="5" t="s">
        <v>225</v>
      </c>
    </row>
    <row r="15">
      <c r="A15" s="5" t="s">
        <v>226</v>
      </c>
      <c r="B15" s="5" t="s">
        <v>228</v>
      </c>
      <c r="C15" s="5" t="s">
        <v>229</v>
      </c>
      <c r="D15" s="5" t="s">
        <v>230</v>
      </c>
      <c r="E15" s="5" t="s">
        <v>231</v>
      </c>
      <c r="F15" s="5" t="s">
        <v>232</v>
      </c>
      <c r="G15" s="5" t="s">
        <v>233</v>
      </c>
      <c r="H15" s="5" t="s">
        <v>234</v>
      </c>
      <c r="I15" s="5" t="s">
        <v>34</v>
      </c>
      <c r="J15" s="5" t="s">
        <v>186</v>
      </c>
      <c r="K15" s="5" t="s">
        <v>206</v>
      </c>
      <c r="L15" s="5"/>
      <c r="M15" s="5" t="s">
        <v>235</v>
      </c>
    </row>
    <row r="16">
      <c r="A16" s="5" t="s">
        <v>236</v>
      </c>
      <c r="B16" s="5" t="s">
        <v>237</v>
      </c>
      <c r="C16" s="5" t="s">
        <v>238</v>
      </c>
      <c r="D16" s="5" t="s">
        <v>239</v>
      </c>
      <c r="E16" s="5" t="s">
        <v>240</v>
      </c>
      <c r="F16" s="5" t="s">
        <v>241</v>
      </c>
      <c r="G16" s="5" t="s">
        <v>242</v>
      </c>
      <c r="H16" s="5" t="s">
        <v>243</v>
      </c>
      <c r="I16" s="5" t="s">
        <v>34</v>
      </c>
      <c r="J16" s="5" t="s">
        <v>186</v>
      </c>
      <c r="K16" s="5" t="s">
        <v>206</v>
      </c>
      <c r="L16" s="5"/>
      <c r="M16" s="5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16">
    <cfRule type="expression" dxfId="0" priority="1">
      <formula>I2="PASS"</formula>
    </cfRule>
  </conditionalFormatting>
  <conditionalFormatting sqref="I2:I16">
    <cfRule type="expression" dxfId="1" priority="2">
      <formula>I2="FAIL"</formula>
    </cfRule>
  </conditionalFormatting>
  <conditionalFormatting sqref="I2:I16">
    <cfRule type="expression" dxfId="2" priority="3">
      <formula>I2="BLOCKED"</formula>
    </cfRule>
  </conditionalFormatting>
  <conditionalFormatting sqref="I2:I16">
    <cfRule type="expression" dxfId="3" priority="4">
      <formula>I2="NOT RUN"</formula>
    </cfRule>
  </conditionalFormatting>
  <conditionalFormatting sqref="J2:J16">
    <cfRule type="expression" dxfId="4" priority="5">
      <formula>J2="Student edge case"</formula>
    </cfRule>
  </conditionalFormatting>
  <dataValidations>
    <dataValidation type="list" allowBlank="1" sqref="K2:K16">
      <formula1>"AI baseline,Missed by AI"</formula1>
    </dataValidation>
    <dataValidation type="list" allowBlank="1" sqref="I2:I16">
      <formula1>"NOT RUN,PASS,FAIL,BLOCKED"</formula1>
    </dataValidation>
    <dataValidation type="list" allowBlank="1" sqref="J2:J16">
      <formula1>"Standard,Student edge case"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20.0"/>
    <col customWidth="1" min="3" max="3" width="44.0"/>
    <col customWidth="1" min="4" max="4" width="32.0"/>
    <col customWidth="1" min="5" max="5" width="38.0"/>
    <col customWidth="1" min="6" max="6" width="18.0"/>
    <col customWidth="1" min="7" max="7" width="30.0"/>
  </cols>
  <sheetData>
    <row r="1">
      <c r="A1" s="1" t="s">
        <v>0</v>
      </c>
      <c r="B1" s="1" t="s">
        <v>19</v>
      </c>
      <c r="C1" s="1" t="s">
        <v>22</v>
      </c>
      <c r="D1" s="1" t="s">
        <v>24</v>
      </c>
      <c r="E1" s="1" t="s">
        <v>26</v>
      </c>
      <c r="F1" s="1" t="s">
        <v>29</v>
      </c>
      <c r="G1" s="1" t="s">
        <v>14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34</v>
      </c>
      <c r="G2" s="5" t="s">
        <v>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51</v>
      </c>
      <c r="B3" s="5" t="s">
        <v>52</v>
      </c>
      <c r="C3" s="5" t="s">
        <v>54</v>
      </c>
      <c r="D3" s="5" t="s">
        <v>56</v>
      </c>
      <c r="E3" s="5" t="s">
        <v>57</v>
      </c>
      <c r="F3" s="5" t="s">
        <v>34</v>
      </c>
      <c r="G3" s="5" t="s">
        <v>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66</v>
      </c>
      <c r="B4" s="5" t="s">
        <v>67</v>
      </c>
      <c r="C4" s="5" t="s">
        <v>69</v>
      </c>
      <c r="D4" s="5" t="s">
        <v>70</v>
      </c>
      <c r="E4" s="5" t="s">
        <v>72</v>
      </c>
      <c r="F4" s="5" t="s">
        <v>34</v>
      </c>
      <c r="G4" s="5" t="s">
        <v>77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81</v>
      </c>
      <c r="B5" s="5" t="s">
        <v>82</v>
      </c>
      <c r="C5" s="5" t="s">
        <v>83</v>
      </c>
      <c r="D5" s="5" t="s">
        <v>85</v>
      </c>
      <c r="E5" s="5" t="s">
        <v>86</v>
      </c>
      <c r="F5" s="5" t="s">
        <v>34</v>
      </c>
      <c r="G5" s="5" t="s">
        <v>92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97</v>
      </c>
      <c r="B6" s="5" t="s">
        <v>98</v>
      </c>
      <c r="C6" s="5" t="s">
        <v>100</v>
      </c>
      <c r="D6" s="5" t="s">
        <v>102</v>
      </c>
      <c r="E6" s="5" t="s">
        <v>104</v>
      </c>
      <c r="F6" s="5" t="s">
        <v>34</v>
      </c>
      <c r="G6" s="5" t="s">
        <v>105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112</v>
      </c>
      <c r="B7" s="5" t="s">
        <v>113</v>
      </c>
      <c r="C7" s="5" t="s">
        <v>115</v>
      </c>
      <c r="D7" s="5" t="s">
        <v>116</v>
      </c>
      <c r="E7" s="5" t="s">
        <v>122</v>
      </c>
      <c r="F7" s="5" t="s">
        <v>34</v>
      </c>
      <c r="G7" s="5" t="s">
        <v>126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132</v>
      </c>
      <c r="B8" s="5" t="s">
        <v>133</v>
      </c>
      <c r="C8" s="5" t="s">
        <v>134</v>
      </c>
      <c r="D8" s="5" t="s">
        <v>135</v>
      </c>
      <c r="E8" s="5" t="s">
        <v>136</v>
      </c>
      <c r="F8" s="5" t="s">
        <v>34</v>
      </c>
      <c r="G8" s="5" t="s">
        <v>140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146</v>
      </c>
      <c r="B9" s="5" t="s">
        <v>147</v>
      </c>
      <c r="C9" s="5" t="s">
        <v>148</v>
      </c>
      <c r="D9" s="5" t="s">
        <v>149</v>
      </c>
      <c r="E9" s="5" t="s">
        <v>150</v>
      </c>
      <c r="F9" s="5" t="s">
        <v>34</v>
      </c>
      <c r="G9" s="5" t="s">
        <v>151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152</v>
      </c>
      <c r="B10" s="5" t="s">
        <v>153</v>
      </c>
      <c r="C10" s="5" t="s">
        <v>154</v>
      </c>
      <c r="D10" s="5" t="s">
        <v>155</v>
      </c>
      <c r="E10" s="5" t="s">
        <v>157</v>
      </c>
      <c r="F10" s="5" t="s">
        <v>34</v>
      </c>
      <c r="G10" s="5" t="s">
        <v>158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159</v>
      </c>
      <c r="B11" s="5" t="s">
        <v>160</v>
      </c>
      <c r="C11" s="5" t="s">
        <v>161</v>
      </c>
      <c r="D11" s="5" t="s">
        <v>162</v>
      </c>
      <c r="E11" s="5" t="s">
        <v>163</v>
      </c>
      <c r="F11" s="5" t="s">
        <v>34</v>
      </c>
      <c r="G11" s="5" t="s">
        <v>164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F2:F11">
    <cfRule type="expression" dxfId="0" priority="1">
      <formula>F2="CONFORMING"</formula>
    </cfRule>
  </conditionalFormatting>
  <conditionalFormatting sqref="F2:F11">
    <cfRule type="expression" dxfId="1" priority="2">
      <formula>F2="NON-CONFORMING"</formula>
    </cfRule>
  </conditionalFormatting>
  <conditionalFormatting sqref="F2:F11">
    <cfRule type="expression" dxfId="3" priority="3">
      <formula>F2="NOT CHECKED"</formula>
    </cfRule>
  </conditionalFormatting>
  <dataValidations>
    <dataValidation type="list" allowBlank="1" sqref="F2:F11">
      <formula1>"NOT CHECKED,CONFORMING,NON-CONFORMING,N/A"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2.0"/>
    <col customWidth="1" min="3" max="6" width="8.63"/>
  </cols>
  <sheetData>
    <row r="1">
      <c r="A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6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30</v>
      </c>
      <c r="B3" s="7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32</v>
      </c>
      <c r="B4" s="7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40</v>
      </c>
      <c r="B5" s="7" t="s">
        <v>41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47</v>
      </c>
      <c r="B6" s="7" t="s">
        <v>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62</v>
      </c>
      <c r="B7" s="7" t="s">
        <v>63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76</v>
      </c>
      <c r="B8" s="7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87</v>
      </c>
      <c r="B9" s="7" t="s">
        <v>90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101</v>
      </c>
      <c r="B10" s="7" t="s">
        <v>103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89</v>
      </c>
      <c r="B11" s="7" t="s">
        <v>118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139</v>
      </c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156</v>
      </c>
      <c r="B14" s="7">
        <f>COUNTA(Test_Cases!A2:A16)</f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186</v>
      </c>
      <c r="B15" s="7">
        <f>COUNTIF(Test_Cases!J2:J16,"Student edge case")</f>
        <v>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205</v>
      </c>
      <c r="B16" s="7">
        <f>COUNTIF(Test_Cases!K2:K16,"AI baseline")</f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227</v>
      </c>
      <c r="B17" s="7">
        <f>COUNTIF(Test_Cases!I2:I16,"PASS")+COUNTIF(Test_Cases!I2:I16,"FAIL")+COUNTIF(Test_Cases!I2:I16,"BLOCKED")</f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245</v>
      </c>
      <c r="B18" s="7">
        <f>COUNTIF(Test_Cases!I2:I16,"PASS")</f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246</v>
      </c>
      <c r="B19" s="7">
        <f>COUNTIF(Test_Cases!I2:I16,"FAIL")</f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247</v>
      </c>
      <c r="B20" s="7">
        <f>COUNTIF(Test_Cases!I2:I16,"BLOCKED")</f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248</v>
      </c>
      <c r="B21" s="7">
        <f>COUNTIF(Test_Cases!I2:I16,"NOT RUN")</f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249</v>
      </c>
      <c r="B22" s="9">
        <f>IF(B17=0,0,B18/B17)</f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250</v>
      </c>
      <c r="B23" s="7">
        <f>COUNTA(Test_Cases!L2:L16)</f>
        <v>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 t="s">
        <v>251</v>
      </c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252</v>
      </c>
      <c r="B26" s="7" t="s">
        <v>34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253</v>
      </c>
      <c r="B27" s="7" t="s">
        <v>34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254</v>
      </c>
      <c r="B28" s="7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255</v>
      </c>
      <c r="B29" s="7" t="s">
        <v>34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256</v>
      </c>
      <c r="B30" s="7" t="s">
        <v>34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257</v>
      </c>
      <c r="B31" s="7" t="s">
        <v>34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 t="s">
        <v>258</v>
      </c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259</v>
      </c>
      <c r="B34" s="6" t="s">
        <v>260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261</v>
      </c>
      <c r="B35" s="6" t="s">
        <v>262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A1:B1"/>
  </mergeCells>
  <conditionalFormatting sqref="B26:B31">
    <cfRule type="expression" dxfId="0" priority="1">
      <formula>B26="PASS"</formula>
    </cfRule>
  </conditionalFormatting>
  <conditionalFormatting sqref="B26:B31">
    <cfRule type="expression" dxfId="5" priority="2">
      <formula>B26="PENDING"</formula>
    </cfRule>
  </conditionalFormatting>
  <printOptions/>
  <pageMargins bottom="0.75" footer="0.0" header="0.0" left="0.7" right="0.7" top="0.75"/>
  <pageSetup orientation="landscape"/>
  <drawing r:id="rId1"/>
</worksheet>
</file>